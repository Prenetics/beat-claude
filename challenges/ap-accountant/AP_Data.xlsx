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or Master" sheetId="1" state="visible" r:id="rId3"/>
    <sheet name="Open POs" sheetId="2" state="visible" r:id="rId4"/>
    <sheet name="Paid Invoices (60 days)" sheetId="3" state="visible" r:id="rId5"/>
    <sheet name="Chart of Accoun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<sst xmlns="http://schemas.openxmlformats.org/spreadsheetml/2006/main" count="339" uniqueCount="206">
  <si>
    <t xml:space="preserve">Vendor ID</t>
  </si>
  <si>
    <t xml:space="preserve">Vendor name</t>
  </si>
  <si>
    <t xml:space="preserve">Entity</t>
  </si>
  <si>
    <t xml:space="preserve">Currency</t>
  </si>
  <si>
    <t xml:space="preserve">Payment terms</t>
  </si>
  <si>
    <t xml:space="preserve">Bank</t>
  </si>
  <si>
    <t xml:space="preserve">Account</t>
  </si>
  <si>
    <t xml:space="preserve">Contact</t>
  </si>
  <si>
    <t xml:space="preserve">Phone (verified)</t>
  </si>
  <si>
    <t xml:space="preserve">Email</t>
  </si>
  <si>
    <t xml:space="preserve">Status</t>
  </si>
  <si>
    <t xml:space="preserve">V1001</t>
  </si>
  <si>
    <t xml:space="preserve">Brightline Logistics Ltd</t>
  </si>
  <si>
    <t xml:space="preserve">AWL</t>
  </si>
  <si>
    <t xml:space="preserve">HKD</t>
  </si>
  <si>
    <t xml:space="preserve">Net 30</t>
  </si>
  <si>
    <t xml:space="preserve">HSBC Hong Kong</t>
  </si>
  <si>
    <t xml:space="preserve">004-123-456789-001</t>
  </si>
  <si>
    <t xml:space="preserve">Kenny Chan</t>
  </si>
  <si>
    <t xml:space="preserve">+852 2345 6789</t>
  </si>
  <si>
    <t xml:space="preserve">kenny.chan@brightline-logistics.hk</t>
  </si>
  <si>
    <t xml:space="preserve">Active</t>
  </si>
  <si>
    <t xml:space="preserve">V1002</t>
  </si>
  <si>
    <t xml:space="preserve">Kowloon Office Supplies Co</t>
  </si>
  <si>
    <t xml:space="preserve">Bank of China (Hong Kong)</t>
  </si>
  <si>
    <t xml:space="preserve">012-875-0-123456-7</t>
  </si>
  <si>
    <t xml:space="preserve">Mandy Lau</t>
  </si>
  <si>
    <t xml:space="preserve">+852 2711 0088</t>
  </si>
  <si>
    <t xml:space="preserve">ar@kowloonoffice.hk</t>
  </si>
  <si>
    <t xml:space="preserve">V1003</t>
  </si>
  <si>
    <t xml:space="preserve">Harbour IT Solutions Ltd</t>
  </si>
  <si>
    <t xml:space="preserve">Net 45</t>
  </si>
  <si>
    <t xml:space="preserve">Hang Seng Bank</t>
  </si>
  <si>
    <t xml:space="preserve">024-389-112233-883</t>
  </si>
  <si>
    <t xml:space="preserve">Raymond Ho</t>
  </si>
  <si>
    <t xml:space="preserve">+852 3188 2200</t>
  </si>
  <si>
    <t xml:space="preserve">accounts@harbourit.hk</t>
  </si>
  <si>
    <t xml:space="preserve">V1004</t>
  </si>
  <si>
    <t xml:space="preserve">Pacific Print &amp; Packaging Ltd</t>
  </si>
  <si>
    <t xml:space="preserve">Standard Chartered HK</t>
  </si>
  <si>
    <t xml:space="preserve">003-447-1-998877-6</t>
  </si>
  <si>
    <t xml:space="preserve">Winnie Tse</t>
  </si>
  <si>
    <t xml:space="preserve">+852 2408 5566</t>
  </si>
  <si>
    <t xml:space="preserve">billing@pacificprint.hk</t>
  </si>
  <si>
    <t xml:space="preserve">V1005</t>
  </si>
  <si>
    <t xml:space="preserve">Lumen Legal LLP</t>
  </si>
  <si>
    <t xml:space="preserve">Net 14</t>
  </si>
  <si>
    <t xml:space="preserve">004-500-778899-838</t>
  </si>
  <si>
    <t xml:space="preserve">Grace Yip</t>
  </si>
  <si>
    <t xml:space="preserve">+852 2899 1300</t>
  </si>
  <si>
    <t xml:space="preserve">billing@lumenlegal.hk</t>
  </si>
  <si>
    <t xml:space="preserve">V1006</t>
  </si>
  <si>
    <t xml:space="preserve">Jade Garden Catering</t>
  </si>
  <si>
    <t xml:space="preserve">Bank of East Asia</t>
  </si>
  <si>
    <t xml:space="preserve">015-221-68-445566</t>
  </si>
  <si>
    <t xml:space="preserve">Tony Wong</t>
  </si>
  <si>
    <t xml:space="preserve">+852 2566 7788</t>
  </si>
  <si>
    <t xml:space="preserve">orders@jadegarden.hk</t>
  </si>
  <si>
    <t xml:space="preserve">Inactive</t>
  </si>
  <si>
    <t xml:space="preserve">V2001</t>
  </si>
  <si>
    <t xml:space="preserve">Summit Cloud Services Inc</t>
  </si>
  <si>
    <t xml:space="preserve">AWUS</t>
  </si>
  <si>
    <t xml:space="preserve">USD</t>
  </si>
  <si>
    <t xml:space="preserve">JPMorgan Chase Bank</t>
  </si>
  <si>
    <t xml:space="preserve">Routing 021000021 / Acct 7788990011</t>
  </si>
  <si>
    <t xml:space="preserve">Billing Team</t>
  </si>
  <si>
    <t xml:space="preserve">(415) 555-0190</t>
  </si>
  <si>
    <t xml:space="preserve">billing@summitcloud.io</t>
  </si>
  <si>
    <t xml:space="preserve">V2002</t>
  </si>
  <si>
    <t xml:space="preserve">Redwood Fulfillment LLC</t>
  </si>
  <si>
    <t xml:space="preserve">Wells Fargo Bank</t>
  </si>
  <si>
    <t xml:space="preserve">Routing 121000248 / Acct 4455667788</t>
  </si>
  <si>
    <t xml:space="preserve">Dana Morris</t>
  </si>
  <si>
    <t xml:space="preserve">(510) 555-0142</t>
  </si>
  <si>
    <t xml:space="preserve">dana.morris@redwoodfulfillment.com</t>
  </si>
  <si>
    <t xml:space="preserve">V2003</t>
  </si>
  <si>
    <t xml:space="preserve">Clearview Marketing Agency LLC</t>
  </si>
  <si>
    <t xml:space="preserve">Bank of America</t>
  </si>
  <si>
    <t xml:space="preserve">Routing 026009593 / Acct 3322110099</t>
  </si>
  <si>
    <t xml:space="preserve">Jordan Blake</t>
  </si>
  <si>
    <t xml:space="preserve">(212) 555-0177</t>
  </si>
  <si>
    <t xml:space="preserve">finance@clearviewmktg.com</t>
  </si>
  <si>
    <t xml:space="preserve">PO number</t>
  </si>
  <si>
    <t xml:space="preserve">Description</t>
  </si>
  <si>
    <t xml:space="preserve">Qty ordered</t>
  </si>
  <si>
    <t xml:space="preserve">Unit price</t>
  </si>
  <si>
    <t xml:space="preserve">PO amount</t>
  </si>
  <si>
    <t xml:space="preserve">Qty received (GRN)</t>
  </si>
  <si>
    <t xml:space="preserve">GRN date</t>
  </si>
  <si>
    <t xml:space="preserve">Requester dept</t>
  </si>
  <si>
    <t xml:space="preserve">Approver</t>
  </si>
  <si>
    <t xml:space="preserve">PO status</t>
  </si>
  <si>
    <t xml:space="preserve">AWL-PO-0412</t>
  </si>
  <si>
    <t xml:space="preserve">Inbound freight Shenzhen-HK warehouse (Sep wk 1-2)</t>
  </si>
  <si>
    <t xml:space="preserve">2026-09-14</t>
  </si>
  <si>
    <t xml:space="preserve">Operations</t>
  </si>
  <si>
    <t xml:space="preserve">Finance Manager</t>
  </si>
  <si>
    <t xml:space="preserve">Open</t>
  </si>
  <si>
    <t xml:space="preserve">AWL-PO-0415</t>
  </si>
  <si>
    <t xml:space="preserve">Office stationery - Q3 replenishment</t>
  </si>
  <si>
    <t xml:space="preserve">2026-08-29</t>
  </si>
  <si>
    <t xml:space="preserve">Admin</t>
  </si>
  <si>
    <t xml:space="preserve">Closed - fully invoiced</t>
  </si>
  <si>
    <t xml:space="preserve">AWL-PO-0420</t>
  </si>
  <si>
    <t xml:space="preserve">Laptop - Model ProBook 14 (new joiners)</t>
  </si>
  <si>
    <t xml:space="preserve">2026-09-03</t>
  </si>
  <si>
    <t xml:space="preserve">IT</t>
  </si>
  <si>
    <t xml:space="preserve">CFO</t>
  </si>
  <si>
    <t xml:space="preserve">AWL-PO-0425</t>
  </si>
  <si>
    <t xml:space="preserve">Printed shipping boxes - 30x20x15cm</t>
  </si>
  <si>
    <t xml:space="preserve">2026-09-19</t>
  </si>
  <si>
    <t xml:space="preserve">AWL-PO-0428</t>
  </si>
  <si>
    <t xml:space="preserve">Pantry supplies - Sep/Oct</t>
  </si>
  <si>
    <t xml:space="preserve">2026-09-17</t>
  </si>
  <si>
    <t xml:space="preserve">AWL-PO-0431</t>
  </si>
  <si>
    <t xml:space="preserve">Local last-mile delivery services (Sep)</t>
  </si>
  <si>
    <t xml:space="preserve">AWL-PO-0433</t>
  </si>
  <si>
    <t xml:space="preserve">TBC</t>
  </si>
  <si>
    <t xml:space="preserve">Orchid Events &amp; Co</t>
  </si>
  <si>
    <t xml:space="preserve">Staff townhall event - venue &amp; AV (26 Sep)</t>
  </si>
  <si>
    <t xml:space="preserve">2026-09-26</t>
  </si>
  <si>
    <t xml:space="preserve">HR</t>
  </si>
  <si>
    <t xml:space="preserve">Open - vendor setup pending</t>
  </si>
  <si>
    <t xml:space="preserve">AWUS-PO-0118</t>
  </si>
  <si>
    <t xml:space="preserve">Cloud platform subscription FY2026 (monthly, USD 2,400 x 12)</t>
  </si>
  <si>
    <t xml:space="preserve">2026-10-01</t>
  </si>
  <si>
    <t xml:space="preserve">AWUS-PO-0122</t>
  </si>
  <si>
    <t xml:space="preserve">3PL fulfilment services - Aug 2026</t>
  </si>
  <si>
    <t xml:space="preserve">2026-09-05</t>
  </si>
  <si>
    <t xml:space="preserve">AWUS-PO-0125</t>
  </si>
  <si>
    <t xml:space="preserve">Q3 paid social campaign management</t>
  </si>
  <si>
    <t xml:space="preserve">2026-08-31</t>
  </si>
  <si>
    <t xml:space="preserve">Marketing</t>
  </si>
  <si>
    <t xml:space="preserve">Payment date</t>
  </si>
  <si>
    <t xml:space="preserve">Invoice no.</t>
  </si>
  <si>
    <t xml:space="preserve">Invoice date</t>
  </si>
  <si>
    <t xml:space="preserve">Amount</t>
  </si>
  <si>
    <t xml:space="preserve">Payment ref</t>
  </si>
  <si>
    <t xml:space="preserve">LL-1051</t>
  </si>
  <si>
    <t xml:space="preserve">2026-08-15</t>
  </si>
  <si>
    <t xml:space="preserve">PAY-AWL-0829</t>
  </si>
  <si>
    <t xml:space="preserve">2026-09-02</t>
  </si>
  <si>
    <t xml:space="preserve">SCS-76455</t>
  </si>
  <si>
    <t xml:space="preserve">2026-08-01</t>
  </si>
  <si>
    <t xml:space="preserve">PAY-AWUS-0902</t>
  </si>
  <si>
    <t xml:space="preserve">RF-3301</t>
  </si>
  <si>
    <t xml:space="preserve">2026-08-05</t>
  </si>
  <si>
    <t xml:space="preserve">PAY-AWUS-0905</t>
  </si>
  <si>
    <t xml:space="preserve">2026-09-12</t>
  </si>
  <si>
    <t xml:space="preserve">BL-2026-0855</t>
  </si>
  <si>
    <t xml:space="preserve">2026-08-12</t>
  </si>
  <si>
    <t xml:space="preserve">PAY-AWL-0912</t>
  </si>
  <si>
    <t xml:space="preserve">HIT-5498</t>
  </si>
  <si>
    <t xml:space="preserve">2026-08-04</t>
  </si>
  <si>
    <t xml:space="preserve">PAY-AWL-0919</t>
  </si>
  <si>
    <t xml:space="preserve">CMA-0410</t>
  </si>
  <si>
    <t xml:space="preserve">PAY-AWUS-0926</t>
  </si>
  <si>
    <t xml:space="preserve">2026-09-30</t>
  </si>
  <si>
    <t xml:space="preserve">KOS-88341</t>
  </si>
  <si>
    <t xml:space="preserve">2026-09-01</t>
  </si>
  <si>
    <t xml:space="preserve">PAY-AWL-0930</t>
  </si>
  <si>
    <t xml:space="preserve">2026-10-03</t>
  </si>
  <si>
    <t xml:space="preserve">PPP-2150</t>
  </si>
  <si>
    <t xml:space="preserve">PAY-AWL-1003</t>
  </si>
  <si>
    <t xml:space="preserve">GL code</t>
  </si>
  <si>
    <t xml:space="preserve">Account name</t>
  </si>
  <si>
    <t xml:space="preserve">Use for</t>
  </si>
  <si>
    <t xml:space="preserve">1300</t>
  </si>
  <si>
    <t xml:space="preserve">Prepayments</t>
  </si>
  <si>
    <t xml:space="preserve">Payments in advance for services/periods not yet received</t>
  </si>
  <si>
    <t xml:space="preserve">1600</t>
  </si>
  <si>
    <t xml:space="preserve">Fixed assets - computer equipment</t>
  </si>
  <si>
    <t xml:space="preserve">IT hardware with unit cost &gt;= HKD 5,000 / USD 650 (capitalisation threshold)</t>
  </si>
  <si>
    <t xml:space="preserve">2100</t>
  </si>
  <si>
    <t xml:space="preserve">Trade payables</t>
  </si>
  <si>
    <t xml:space="preserve">Vendor invoices approved and awaiting payment</t>
  </si>
  <si>
    <t xml:space="preserve">2150</t>
  </si>
  <si>
    <t xml:space="preserve">Accrued expenses</t>
  </si>
  <si>
    <t xml:space="preserve">Goods/services received but not yet invoiced</t>
  </si>
  <si>
    <t xml:space="preserve">6100</t>
  </si>
  <si>
    <t xml:space="preserve">Freight &amp; logistics</t>
  </si>
  <si>
    <t xml:space="preserve">Inbound freight, courier, last-mile delivery</t>
  </si>
  <si>
    <t xml:space="preserve">6110</t>
  </si>
  <si>
    <t xml:space="preserve">Packaging materials</t>
  </si>
  <si>
    <t xml:space="preserve">Shipping boxes, labels, inserts</t>
  </si>
  <si>
    <t xml:space="preserve">6200</t>
  </si>
  <si>
    <t xml:space="preserve">Office supplies &amp; pantry</t>
  </si>
  <si>
    <t xml:space="preserve">Stationery, pantry, small office consumables</t>
  </si>
  <si>
    <t xml:space="preserve">6300</t>
  </si>
  <si>
    <t xml:space="preserve">IT equipment - expensed</t>
  </si>
  <si>
    <t xml:space="preserve">IT hardware below capitalisation threshold</t>
  </si>
  <si>
    <t xml:space="preserve">6400</t>
  </si>
  <si>
    <t xml:space="preserve">Software &amp; cloud subscriptions</t>
  </si>
  <si>
    <t xml:space="preserve">SaaS, cloud hosting</t>
  </si>
  <si>
    <t xml:space="preserve">6500</t>
  </si>
  <si>
    <t xml:space="preserve">Legal &amp; professional fees</t>
  </si>
  <si>
    <t xml:space="preserve">Lawyers, auditors, consultants</t>
  </si>
  <si>
    <t xml:space="preserve">6600</t>
  </si>
  <si>
    <t xml:space="preserve">Marketing &amp; advertising</t>
  </si>
  <si>
    <t xml:space="preserve">Agencies, paid media, campaigns</t>
  </si>
  <si>
    <t xml:space="preserve">6700</t>
  </si>
  <si>
    <t xml:space="preserve">Staff welfare &amp; events</t>
  </si>
  <si>
    <t xml:space="preserve">Team events, townhalls, staff activities</t>
  </si>
  <si>
    <t xml:space="preserve">6800</t>
  </si>
  <si>
    <t xml:space="preserve">Fulfilment &amp; 3PL</t>
  </si>
  <si>
    <t xml:space="preserve">Third-party warehousing and order fulfilment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</si>
</sst>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#,##0.00;\(#,##0.00\);\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7" min="7" style="0" width="34"/>
    <col collapsed="false" customWidth="true" hidden="false" outlineLevel="0" max="8" min="8" style="0" width="14"/>
    <col collapsed="false" customWidth="true" hidden="false" outlineLevel="0" max="9" min="9" style="0" width="17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customFormat="false" ht="15" hidden="false" customHeight="false" outlineLevel="0" collapsed="false">
      <c r="A3" s="2" t="s">
        <v>22</v>
      </c>
      <c r="B3" s="2" t="s">
        <v>23</v>
      </c>
      <c r="C3" s="2" t="s">
        <v>13</v>
      </c>
      <c r="D3" s="2" t="s">
        <v>14</v>
      </c>
      <c r="E3" s="2" t="s">
        <v>15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21</v>
      </c>
    </row>
    <row r="4" customFormat="false" ht="15" hidden="false" customHeight="false" outlineLevel="0" collapsed="false">
      <c r="A4" s="2" t="s">
        <v>29</v>
      </c>
      <c r="B4" s="2" t="s">
        <v>30</v>
      </c>
      <c r="C4" s="2" t="s">
        <v>13</v>
      </c>
      <c r="D4" s="2" t="s">
        <v>14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21</v>
      </c>
    </row>
    <row r="5" customFormat="false" ht="15" hidden="false" customHeight="false" outlineLevel="0" collapsed="false">
      <c r="A5" s="2" t="s">
        <v>37</v>
      </c>
      <c r="B5" s="2" t="s">
        <v>38</v>
      </c>
      <c r="C5" s="2" t="s">
        <v>13</v>
      </c>
      <c r="D5" s="2" t="s">
        <v>14</v>
      </c>
      <c r="E5" s="2" t="s">
        <v>15</v>
      </c>
      <c r="F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21</v>
      </c>
    </row>
    <row r="6" customFormat="false" ht="15" hidden="false" customHeight="false" outlineLevel="0" collapsed="false">
      <c r="A6" s="2" t="s">
        <v>44</v>
      </c>
      <c r="B6" s="2" t="s">
        <v>45</v>
      </c>
      <c r="C6" s="2" t="s">
        <v>13</v>
      </c>
      <c r="D6" s="2" t="s">
        <v>14</v>
      </c>
      <c r="E6" s="2" t="s">
        <v>46</v>
      </c>
      <c r="F6" s="2" t="s">
        <v>16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21</v>
      </c>
    </row>
    <row r="7" customFormat="false" ht="15" hidden="false" customHeight="false" outlineLevel="0" collapsed="false">
      <c r="A7" s="2" t="s">
        <v>51</v>
      </c>
      <c r="B7" s="2" t="s">
        <v>52</v>
      </c>
      <c r="C7" s="2" t="s">
        <v>13</v>
      </c>
      <c r="D7" s="2" t="s">
        <v>14</v>
      </c>
      <c r="E7" s="2" t="s">
        <v>15</v>
      </c>
      <c r="F7" s="2" t="s">
        <v>53</v>
      </c>
      <c r="G7" s="2" t="s">
        <v>54</v>
      </c>
      <c r="H7" s="2" t="s">
        <v>55</v>
      </c>
      <c r="I7" s="2" t="s">
        <v>56</v>
      </c>
      <c r="J7" s="2" t="s">
        <v>57</v>
      </c>
      <c r="K7" s="2" t="s">
        <v>58</v>
      </c>
    </row>
    <row r="8" customFormat="false" ht="15" hidden="false" customHeight="false" outlineLevel="0" collapsed="false">
      <c r="A8" s="2" t="s">
        <v>59</v>
      </c>
      <c r="B8" s="2" t="s">
        <v>60</v>
      </c>
      <c r="C8" s="2" t="s">
        <v>61</v>
      </c>
      <c r="D8" s="2" t="s">
        <v>62</v>
      </c>
      <c r="E8" s="2" t="s">
        <v>15</v>
      </c>
      <c r="F8" s="2" t="s">
        <v>63</v>
      </c>
      <c r="G8" s="2" t="s">
        <v>64</v>
      </c>
      <c r="H8" s="2" t="s">
        <v>65</v>
      </c>
      <c r="I8" s="2" t="s">
        <v>66</v>
      </c>
      <c r="J8" s="2" t="s">
        <v>67</v>
      </c>
      <c r="K8" s="2" t="s">
        <v>21</v>
      </c>
    </row>
    <row r="9" customFormat="false" ht="15" hidden="false" customHeight="false" outlineLevel="0" collapsed="false">
      <c r="A9" s="2" t="s">
        <v>68</v>
      </c>
      <c r="B9" s="2" t="s">
        <v>69</v>
      </c>
      <c r="C9" s="2" t="s">
        <v>61</v>
      </c>
      <c r="D9" s="2" t="s">
        <v>62</v>
      </c>
      <c r="E9" s="2" t="s">
        <v>15</v>
      </c>
      <c r="F9" s="2" t="s">
        <v>70</v>
      </c>
      <c r="G9" s="2" t="s">
        <v>71</v>
      </c>
      <c r="H9" s="2" t="s">
        <v>72</v>
      </c>
      <c r="I9" s="2" t="s">
        <v>73</v>
      </c>
      <c r="J9" s="2" t="s">
        <v>74</v>
      </c>
      <c r="K9" s="2" t="s">
        <v>21</v>
      </c>
    </row>
    <row r="10" customFormat="false" ht="15" hidden="false" customHeight="false" outlineLevel="0" collapsed="false">
      <c r="A10" s="2" t="s">
        <v>75</v>
      </c>
      <c r="B10" s="2" t="s">
        <v>76</v>
      </c>
      <c r="C10" s="2" t="s">
        <v>61</v>
      </c>
      <c r="D10" s="2" t="s">
        <v>62</v>
      </c>
      <c r="E10" s="2" t="s">
        <v>31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  <c r="K10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28"/>
    <col collapsed="false" customWidth="true" hidden="false" outlineLevel="0" max="5" min="5" style="0" width="44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1" min="10" style="0" width="11"/>
    <col collapsed="false" customWidth="true" hidden="false" outlineLevel="0" max="12" min="12" style="0" width="13"/>
    <col collapsed="false" customWidth="true" hidden="false" outlineLevel="0" max="13" min="13" style="0" width="15"/>
    <col collapsed="false" customWidth="true" hidden="false" outlineLevel="0" max="14" min="14" style="0" width="22"/>
  </cols>
  <sheetData>
    <row r="1" customFormat="false" ht="39.55" hidden="false" customHeight="false" outlineLevel="0" collapsed="false">
      <c r="A1" s="1" t="s">
        <v>82</v>
      </c>
      <c r="B1" s="1" t="s">
        <v>2</v>
      </c>
      <c r="C1" s="1" t="s">
        <v>0</v>
      </c>
      <c r="D1" s="1" t="s">
        <v>1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3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</row>
    <row r="2" customFormat="false" ht="23.85" hidden="false" customHeight="false" outlineLevel="0" collapsed="false">
      <c r="A2" s="2" t="s">
        <v>92</v>
      </c>
      <c r="B2" s="2" t="s">
        <v>13</v>
      </c>
      <c r="C2" s="2" t="s">
        <v>11</v>
      </c>
      <c r="D2" s="2" t="s">
        <v>12</v>
      </c>
      <c r="E2" s="2" t="s">
        <v>93</v>
      </c>
      <c r="F2" s="3" t="n">
        <v>1</v>
      </c>
      <c r="G2" s="4" t="n">
        <v>18500</v>
      </c>
      <c r="H2" s="4" t="n">
        <f aca="false">F2*G2</f>
        <v>18500</v>
      </c>
      <c r="I2" s="2" t="s">
        <v>14</v>
      </c>
      <c r="J2" s="3" t="n">
        <v>1</v>
      </c>
      <c r="K2" s="2" t="s">
        <v>94</v>
      </c>
      <c r="L2" s="2" t="s">
        <v>95</v>
      </c>
      <c r="M2" s="2" t="s">
        <v>96</v>
      </c>
      <c r="N2" s="2" t="s">
        <v>97</v>
      </c>
    </row>
    <row r="3" customFormat="false" ht="15" hidden="false" customHeight="false" outlineLevel="0" collapsed="false">
      <c r="A3" s="2" t="s">
        <v>98</v>
      </c>
      <c r="B3" s="2" t="s">
        <v>13</v>
      </c>
      <c r="C3" s="2" t="s">
        <v>22</v>
      </c>
      <c r="D3" s="2" t="s">
        <v>23</v>
      </c>
      <c r="E3" s="2" t="s">
        <v>99</v>
      </c>
      <c r="F3" s="3" t="n">
        <v>1</v>
      </c>
      <c r="G3" s="4" t="n">
        <v>4280</v>
      </c>
      <c r="H3" s="4" t="n">
        <f aca="false">F3*G3</f>
        <v>4280</v>
      </c>
      <c r="I3" s="2" t="s">
        <v>14</v>
      </c>
      <c r="J3" s="3" t="n">
        <v>1</v>
      </c>
      <c r="K3" s="2" t="s">
        <v>100</v>
      </c>
      <c r="L3" s="2" t="s">
        <v>101</v>
      </c>
      <c r="M3" s="2" t="s">
        <v>96</v>
      </c>
      <c r="N3" s="2" t="s">
        <v>102</v>
      </c>
    </row>
    <row r="4" customFormat="false" ht="15" hidden="false" customHeight="false" outlineLevel="0" collapsed="false">
      <c r="A4" s="2" t="s">
        <v>103</v>
      </c>
      <c r="B4" s="2" t="s">
        <v>13</v>
      </c>
      <c r="C4" s="2" t="s">
        <v>29</v>
      </c>
      <c r="D4" s="2" t="s">
        <v>30</v>
      </c>
      <c r="E4" s="2" t="s">
        <v>104</v>
      </c>
      <c r="F4" s="3" t="n">
        <v>10</v>
      </c>
      <c r="G4" s="4" t="n">
        <v>8900</v>
      </c>
      <c r="H4" s="4" t="n">
        <f aca="false">F4*G4</f>
        <v>89000</v>
      </c>
      <c r="I4" s="2" t="s">
        <v>14</v>
      </c>
      <c r="J4" s="3" t="n">
        <v>10</v>
      </c>
      <c r="K4" s="2" t="s">
        <v>105</v>
      </c>
      <c r="L4" s="2" t="s">
        <v>106</v>
      </c>
      <c r="M4" s="2" t="s">
        <v>107</v>
      </c>
      <c r="N4" s="2" t="s">
        <v>97</v>
      </c>
    </row>
    <row r="5" customFormat="false" ht="15" hidden="false" customHeight="false" outlineLevel="0" collapsed="false">
      <c r="A5" s="2" t="s">
        <v>108</v>
      </c>
      <c r="B5" s="2" t="s">
        <v>13</v>
      </c>
      <c r="C5" s="2" t="s">
        <v>37</v>
      </c>
      <c r="D5" s="2" t="s">
        <v>38</v>
      </c>
      <c r="E5" s="2" t="s">
        <v>109</v>
      </c>
      <c r="F5" s="3" t="n">
        <v>5000</v>
      </c>
      <c r="G5" s="4" t="n">
        <v>3.2</v>
      </c>
      <c r="H5" s="4" t="n">
        <f aca="false">F5*G5</f>
        <v>16000</v>
      </c>
      <c r="I5" s="2" t="s">
        <v>14</v>
      </c>
      <c r="J5" s="3" t="n">
        <v>4000</v>
      </c>
      <c r="K5" s="2" t="s">
        <v>110</v>
      </c>
      <c r="L5" s="2" t="s">
        <v>95</v>
      </c>
      <c r="M5" s="2" t="s">
        <v>96</v>
      </c>
      <c r="N5" s="2" t="s">
        <v>97</v>
      </c>
    </row>
    <row r="6" customFormat="false" ht="15" hidden="false" customHeight="false" outlineLevel="0" collapsed="false">
      <c r="A6" s="2" t="s">
        <v>111</v>
      </c>
      <c r="B6" s="2" t="s">
        <v>13</v>
      </c>
      <c r="C6" s="2" t="s">
        <v>22</v>
      </c>
      <c r="D6" s="2" t="s">
        <v>23</v>
      </c>
      <c r="E6" s="2" t="s">
        <v>112</v>
      </c>
      <c r="F6" s="3" t="n">
        <v>1</v>
      </c>
      <c r="G6" s="4" t="n">
        <v>3150</v>
      </c>
      <c r="H6" s="4" t="n">
        <f aca="false">F6*G6</f>
        <v>3150</v>
      </c>
      <c r="I6" s="2" t="s">
        <v>14</v>
      </c>
      <c r="J6" s="3" t="n">
        <v>1</v>
      </c>
      <c r="K6" s="2" t="s">
        <v>113</v>
      </c>
      <c r="L6" s="2" t="s">
        <v>101</v>
      </c>
      <c r="M6" s="2" t="s">
        <v>96</v>
      </c>
      <c r="N6" s="2" t="s">
        <v>97</v>
      </c>
    </row>
    <row r="7" customFormat="false" ht="15" hidden="false" customHeight="false" outlineLevel="0" collapsed="false">
      <c r="A7" s="2" t="s">
        <v>114</v>
      </c>
      <c r="B7" s="2" t="s">
        <v>13</v>
      </c>
      <c r="C7" s="2" t="s">
        <v>11</v>
      </c>
      <c r="D7" s="2" t="s">
        <v>12</v>
      </c>
      <c r="E7" s="2" t="s">
        <v>115</v>
      </c>
      <c r="F7" s="3" t="n">
        <v>1</v>
      </c>
      <c r="G7" s="4" t="n">
        <v>9200</v>
      </c>
      <c r="H7" s="4" t="n">
        <f aca="false">F7*G7</f>
        <v>9200</v>
      </c>
      <c r="I7" s="2" t="s">
        <v>14</v>
      </c>
      <c r="J7" s="3" t="n">
        <v>1</v>
      </c>
      <c r="K7" s="2" t="s">
        <v>110</v>
      </c>
      <c r="L7" s="2" t="s">
        <v>95</v>
      </c>
      <c r="M7" s="2" t="s">
        <v>96</v>
      </c>
      <c r="N7" s="2" t="s">
        <v>97</v>
      </c>
    </row>
    <row r="8" customFormat="false" ht="23.85" hidden="false" customHeight="false" outlineLevel="0" collapsed="false">
      <c r="A8" s="2" t="s">
        <v>116</v>
      </c>
      <c r="B8" s="2" t="s">
        <v>13</v>
      </c>
      <c r="C8" s="2" t="s">
        <v>117</v>
      </c>
      <c r="D8" s="2" t="s">
        <v>118</v>
      </c>
      <c r="E8" s="2" t="s">
        <v>119</v>
      </c>
      <c r="F8" s="3" t="n">
        <v>1</v>
      </c>
      <c r="G8" s="4" t="n">
        <v>6800</v>
      </c>
      <c r="H8" s="4" t="n">
        <f aca="false">F8*G8</f>
        <v>6800</v>
      </c>
      <c r="I8" s="2" t="s">
        <v>14</v>
      </c>
      <c r="J8" s="3" t="n">
        <v>1</v>
      </c>
      <c r="K8" s="2" t="s">
        <v>120</v>
      </c>
      <c r="L8" s="2" t="s">
        <v>121</v>
      </c>
      <c r="M8" s="2" t="s">
        <v>96</v>
      </c>
      <c r="N8" s="2" t="s">
        <v>122</v>
      </c>
    </row>
    <row r="9" customFormat="false" ht="23.85" hidden="false" customHeight="false" outlineLevel="0" collapsed="false">
      <c r="A9" s="2" t="s">
        <v>123</v>
      </c>
      <c r="B9" s="2" t="s">
        <v>61</v>
      </c>
      <c r="C9" s="2" t="s">
        <v>59</v>
      </c>
      <c r="D9" s="2" t="s">
        <v>60</v>
      </c>
      <c r="E9" s="2" t="s">
        <v>124</v>
      </c>
      <c r="F9" s="3" t="n">
        <v>12</v>
      </c>
      <c r="G9" s="4" t="n">
        <v>2400</v>
      </c>
      <c r="H9" s="4" t="n">
        <f aca="false">F9*G9</f>
        <v>28800</v>
      </c>
      <c r="I9" s="2" t="s">
        <v>62</v>
      </c>
      <c r="J9" s="3" t="n">
        <v>10</v>
      </c>
      <c r="K9" s="2" t="s">
        <v>125</v>
      </c>
      <c r="L9" s="2" t="s">
        <v>106</v>
      </c>
      <c r="M9" s="2" t="s">
        <v>107</v>
      </c>
      <c r="N9" s="2" t="s">
        <v>97</v>
      </c>
    </row>
    <row r="10" customFormat="false" ht="15" hidden="false" customHeight="false" outlineLevel="0" collapsed="false">
      <c r="A10" s="2" t="s">
        <v>126</v>
      </c>
      <c r="B10" s="2" t="s">
        <v>61</v>
      </c>
      <c r="C10" s="2" t="s">
        <v>68</v>
      </c>
      <c r="D10" s="2" t="s">
        <v>69</v>
      </c>
      <c r="E10" s="2" t="s">
        <v>127</v>
      </c>
      <c r="F10" s="3" t="n">
        <v>1</v>
      </c>
      <c r="G10" s="4" t="n">
        <v>7850</v>
      </c>
      <c r="H10" s="4" t="n">
        <f aca="false">F10*G10</f>
        <v>7850</v>
      </c>
      <c r="I10" s="2" t="s">
        <v>62</v>
      </c>
      <c r="J10" s="3" t="n">
        <v>1</v>
      </c>
      <c r="K10" s="2" t="s">
        <v>128</v>
      </c>
      <c r="L10" s="2" t="s">
        <v>95</v>
      </c>
      <c r="M10" s="2" t="s">
        <v>96</v>
      </c>
      <c r="N10" s="2" t="s">
        <v>97</v>
      </c>
    </row>
    <row r="11" customFormat="false" ht="15" hidden="false" customHeight="false" outlineLevel="0" collapsed="false">
      <c r="A11" s="2" t="s">
        <v>129</v>
      </c>
      <c r="B11" s="2" t="s">
        <v>61</v>
      </c>
      <c r="C11" s="2" t="s">
        <v>75</v>
      </c>
      <c r="D11" s="2" t="s">
        <v>76</v>
      </c>
      <c r="E11" s="2" t="s">
        <v>130</v>
      </c>
      <c r="F11" s="3" t="n">
        <v>1</v>
      </c>
      <c r="G11" s="4" t="n">
        <v>12000</v>
      </c>
      <c r="H11" s="4" t="n">
        <f aca="false">F11*G11</f>
        <v>12000</v>
      </c>
      <c r="I11" s="2" t="s">
        <v>62</v>
      </c>
      <c r="J11" s="3" t="n">
        <v>1</v>
      </c>
      <c r="K11" s="2" t="s">
        <v>131</v>
      </c>
      <c r="L11" s="2" t="s">
        <v>132</v>
      </c>
      <c r="M11" s="2" t="s">
        <v>107</v>
      </c>
      <c r="N11" s="2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9"/>
    <col collapsed="false" customWidth="true" hidden="false" outlineLevel="0" max="9" min="9" style="0" width="15"/>
  </cols>
  <sheetData>
    <row r="1" customFormat="false" ht="26.85" hidden="false" customHeight="false" outlineLevel="0" collapsed="false">
      <c r="A1" s="1" t="s">
        <v>133</v>
      </c>
      <c r="B1" s="1" t="s">
        <v>2</v>
      </c>
      <c r="C1" s="1" t="s">
        <v>0</v>
      </c>
      <c r="D1" s="1" t="s">
        <v>1</v>
      </c>
      <c r="E1" s="1" t="s">
        <v>134</v>
      </c>
      <c r="F1" s="1" t="s">
        <v>135</v>
      </c>
      <c r="G1" s="1" t="s">
        <v>136</v>
      </c>
      <c r="H1" s="1" t="s">
        <v>3</v>
      </c>
      <c r="I1" s="1" t="s">
        <v>137</v>
      </c>
    </row>
    <row r="2" customFormat="false" ht="15" hidden="false" customHeight="false" outlineLevel="0" collapsed="false">
      <c r="A2" s="2" t="s">
        <v>100</v>
      </c>
      <c r="B2" s="2" t="s">
        <v>13</v>
      </c>
      <c r="C2" s="2" t="s">
        <v>44</v>
      </c>
      <c r="D2" s="2" t="s">
        <v>45</v>
      </c>
      <c r="E2" s="2" t="s">
        <v>138</v>
      </c>
      <c r="F2" s="2" t="s">
        <v>139</v>
      </c>
      <c r="G2" s="5" t="n">
        <v>28000</v>
      </c>
      <c r="H2" s="2" t="s">
        <v>14</v>
      </c>
      <c r="I2" s="2" t="s">
        <v>140</v>
      </c>
    </row>
    <row r="3" customFormat="false" ht="15" hidden="false" customHeight="false" outlineLevel="0" collapsed="false">
      <c r="A3" s="2" t="s">
        <v>141</v>
      </c>
      <c r="B3" s="2" t="s">
        <v>61</v>
      </c>
      <c r="C3" s="2" t="s">
        <v>59</v>
      </c>
      <c r="D3" s="2" t="s">
        <v>60</v>
      </c>
      <c r="E3" s="2" t="s">
        <v>142</v>
      </c>
      <c r="F3" s="2" t="s">
        <v>143</v>
      </c>
      <c r="G3" s="5" t="n">
        <v>2400</v>
      </c>
      <c r="H3" s="2" t="s">
        <v>62</v>
      </c>
      <c r="I3" s="2" t="s">
        <v>144</v>
      </c>
    </row>
    <row r="4" customFormat="false" ht="15" hidden="false" customHeight="false" outlineLevel="0" collapsed="false">
      <c r="A4" s="2" t="s">
        <v>128</v>
      </c>
      <c r="B4" s="2" t="s">
        <v>61</v>
      </c>
      <c r="C4" s="2" t="s">
        <v>68</v>
      </c>
      <c r="D4" s="2" t="s">
        <v>69</v>
      </c>
      <c r="E4" s="2" t="s">
        <v>145</v>
      </c>
      <c r="F4" s="2" t="s">
        <v>146</v>
      </c>
      <c r="G4" s="5" t="n">
        <v>7600</v>
      </c>
      <c r="H4" s="2" t="s">
        <v>62</v>
      </c>
      <c r="I4" s="2" t="s">
        <v>147</v>
      </c>
    </row>
    <row r="5" customFormat="false" ht="15" hidden="false" customHeight="false" outlineLevel="0" collapsed="false">
      <c r="A5" s="2" t="s">
        <v>148</v>
      </c>
      <c r="B5" s="2" t="s">
        <v>13</v>
      </c>
      <c r="C5" s="2" t="s">
        <v>11</v>
      </c>
      <c r="D5" s="2" t="s">
        <v>12</v>
      </c>
      <c r="E5" s="2" t="s">
        <v>149</v>
      </c>
      <c r="F5" s="2" t="s">
        <v>150</v>
      </c>
      <c r="G5" s="5" t="n">
        <v>17900</v>
      </c>
      <c r="H5" s="2" t="s">
        <v>14</v>
      </c>
      <c r="I5" s="2" t="s">
        <v>151</v>
      </c>
    </row>
    <row r="6" customFormat="false" ht="15" hidden="false" customHeight="false" outlineLevel="0" collapsed="false">
      <c r="A6" s="2" t="s">
        <v>110</v>
      </c>
      <c r="B6" s="2" t="s">
        <v>13</v>
      </c>
      <c r="C6" s="2" t="s">
        <v>29</v>
      </c>
      <c r="D6" s="2" t="s">
        <v>30</v>
      </c>
      <c r="E6" s="2" t="s">
        <v>152</v>
      </c>
      <c r="F6" s="2" t="s">
        <v>153</v>
      </c>
      <c r="G6" s="5" t="n">
        <v>12300</v>
      </c>
      <c r="H6" s="2" t="s">
        <v>14</v>
      </c>
      <c r="I6" s="2" t="s">
        <v>154</v>
      </c>
    </row>
    <row r="7" customFormat="false" ht="15" hidden="false" customHeight="false" outlineLevel="0" collapsed="false">
      <c r="A7" s="2" t="s">
        <v>120</v>
      </c>
      <c r="B7" s="2" t="s">
        <v>61</v>
      </c>
      <c r="C7" s="2" t="s">
        <v>75</v>
      </c>
      <c r="D7" s="2" t="s">
        <v>76</v>
      </c>
      <c r="E7" s="2" t="s">
        <v>155</v>
      </c>
      <c r="F7" s="2" t="s">
        <v>150</v>
      </c>
      <c r="G7" s="5" t="n">
        <v>9500</v>
      </c>
      <c r="H7" s="2" t="s">
        <v>62</v>
      </c>
      <c r="I7" s="2" t="s">
        <v>156</v>
      </c>
    </row>
    <row r="8" customFormat="false" ht="15" hidden="false" customHeight="false" outlineLevel="0" collapsed="false">
      <c r="A8" s="2" t="s">
        <v>157</v>
      </c>
      <c r="B8" s="2" t="s">
        <v>13</v>
      </c>
      <c r="C8" s="2" t="s">
        <v>22</v>
      </c>
      <c r="D8" s="2" t="s">
        <v>23</v>
      </c>
      <c r="E8" s="2" t="s">
        <v>158</v>
      </c>
      <c r="F8" s="2" t="s">
        <v>159</v>
      </c>
      <c r="G8" s="5" t="n">
        <v>4280</v>
      </c>
      <c r="H8" s="2" t="s">
        <v>14</v>
      </c>
      <c r="I8" s="2" t="s">
        <v>160</v>
      </c>
    </row>
    <row r="9" customFormat="false" ht="15" hidden="false" customHeight="false" outlineLevel="0" collapsed="false">
      <c r="A9" s="2" t="s">
        <v>161</v>
      </c>
      <c r="B9" s="2" t="s">
        <v>13</v>
      </c>
      <c r="C9" s="2" t="s">
        <v>37</v>
      </c>
      <c r="D9" s="2" t="s">
        <v>38</v>
      </c>
      <c r="E9" s="2" t="s">
        <v>162</v>
      </c>
      <c r="F9" s="2" t="s">
        <v>141</v>
      </c>
      <c r="G9" s="5" t="n">
        <v>8640</v>
      </c>
      <c r="H9" s="2" t="s">
        <v>14</v>
      </c>
      <c r="I9" s="2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1" t="s">
        <v>164</v>
      </c>
      <c r="B1" s="1" t="s">
        <v>165</v>
      </c>
      <c r="C1" s="1" t="s">
        <v>166</v>
      </c>
    </row>
    <row r="2" customFormat="false" ht="15" hidden="false" customHeight="false" outlineLevel="0" collapsed="false">
      <c r="A2" s="2" t="s">
        <v>167</v>
      </c>
      <c r="B2" s="2" t="s">
        <v>168</v>
      </c>
      <c r="C2" s="2" t="s">
        <v>169</v>
      </c>
    </row>
    <row r="3" customFormat="false" ht="15" hidden="false" customHeight="false" outlineLevel="0" collapsed="false">
      <c r="A3" s="2" t="s">
        <v>170</v>
      </c>
      <c r="B3" s="2" t="s">
        <v>171</v>
      </c>
      <c r="C3" s="2" t="s">
        <v>172</v>
      </c>
    </row>
    <row r="4" customFormat="false" ht="15" hidden="false" customHeight="false" outlineLevel="0" collapsed="false">
      <c r="A4" s="2" t="s">
        <v>173</v>
      </c>
      <c r="B4" s="2" t="s">
        <v>174</v>
      </c>
      <c r="C4" s="2" t="s">
        <v>175</v>
      </c>
    </row>
    <row r="5" customFormat="false" ht="15" hidden="false" customHeight="false" outlineLevel="0" collapsed="false">
      <c r="A5" s="2" t="s">
        <v>176</v>
      </c>
      <c r="B5" s="2" t="s">
        <v>177</v>
      </c>
      <c r="C5" s="2" t="s">
        <v>178</v>
      </c>
    </row>
    <row r="6" customFormat="false" ht="15" hidden="false" customHeight="false" outlineLevel="0" collapsed="false">
      <c r="A6" s="2" t="s">
        <v>179</v>
      </c>
      <c r="B6" s="2" t="s">
        <v>180</v>
      </c>
      <c r="C6" s="2" t="s">
        <v>181</v>
      </c>
    </row>
    <row r="7" customFormat="false" ht="15" hidden="false" customHeight="false" outlineLevel="0" collapsed="false">
      <c r="A7" s="2" t="s">
        <v>182</v>
      </c>
      <c r="B7" s="2" t="s">
        <v>183</v>
      </c>
      <c r="C7" s="2" t="s">
        <v>184</v>
      </c>
    </row>
    <row r="8" customFormat="false" ht="15" hidden="false" customHeight="false" outlineLevel="0" collapsed="false">
      <c r="A8" s="2" t="s">
        <v>185</v>
      </c>
      <c r="B8" s="2" t="s">
        <v>186</v>
      </c>
      <c r="C8" s="2" t="s">
        <v>187</v>
      </c>
    </row>
    <row r="9" customFormat="false" ht="15" hidden="false" customHeight="false" outlineLevel="0" collapsed="false">
      <c r="A9" s="2" t="s">
        <v>188</v>
      </c>
      <c r="B9" s="2" t="s">
        <v>189</v>
      </c>
      <c r="C9" s="2" t="s">
        <v>190</v>
      </c>
    </row>
    <row r="10" customFormat="false" ht="15" hidden="false" customHeight="false" outlineLevel="0" collapsed="false">
      <c r="A10" s="2" t="s">
        <v>191</v>
      </c>
      <c r="B10" s="2" t="s">
        <v>192</v>
      </c>
      <c r="C10" s="2" t="s">
        <v>193</v>
      </c>
    </row>
    <row r="11" customFormat="false" ht="15" hidden="false" customHeight="false" outlineLevel="0" collapsed="false">
      <c r="A11" s="2" t="s">
        <v>194</v>
      </c>
      <c r="B11" s="2" t="s">
        <v>195</v>
      </c>
      <c r="C11" s="2" t="s">
        <v>196</v>
      </c>
    </row>
    <row r="12" customFormat="false" ht="15" hidden="false" customHeight="false" outlineLevel="0" collapsed="false">
      <c r="A12" s="2" t="s">
        <v>197</v>
      </c>
      <c r="B12" s="2" t="s">
        <v>198</v>
      </c>
      <c r="C12" s="2" t="s">
        <v>199</v>
      </c>
    </row>
    <row r="13" customFormat="false" ht="15" hidden="false" customHeight="false" outlineLevel="0" collapsed="false">
      <c r="A13" s="2" t="s">
        <v>200</v>
      </c>
      <c r="B13" s="2" t="s">
        <v>201</v>
      </c>
      <c r="C13" s="2" t="s">
        <v>202</v>
      </c>
    </row>
    <row r="14" customFormat="false" ht="15" hidden="false" customHeight="false" outlineLevel="0" collapsed="false">
      <c r="A14" s="2" t="s">
        <v>203</v>
      </c>
      <c r="B14" s="2" t="s">
        <v>204</v>
      </c>
      <c r="C14" s="2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2026-10-13T16:36:23Z</dcterms:created>
  <dc:creator>openpyxl</dc:creator>
  <dc:description/>
  <dc:language>en-US</dc:language>
  <cp:lastModifiedBy/>
  <dcterms:modified xsi:type="dcterms:W3CDTF">2026-10-13T16:36:23Z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